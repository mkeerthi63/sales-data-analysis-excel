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99786B9A-815D-47A5-A7A4-A955EF9D2B46}" xr6:coauthVersionLast="47" xr6:coauthVersionMax="47" xr10:uidLastSave="{00000000-0000-0000-0000-000000000000}"/>
  <bookViews>
    <workbookView xWindow="-108" yWindow="-108" windowWidth="23256" windowHeight="12456" activeTab="5" xr2:uid="{BF220627-6D52-49B7-AF33-84A75E9DFEE5}"/>
  </bookViews>
  <sheets>
    <sheet name="Pivot table 1" sheetId="2" r:id="rId1"/>
    <sheet name="pivot table 2" sheetId="3" r:id="rId2"/>
    <sheet name="pivot table 3" sheetId="4" r:id="rId3"/>
    <sheet name="pivot table 4" sheetId="5" r:id="rId4"/>
    <sheet name="Sheet2" sheetId="9" r:id="rId5"/>
    <sheet name="Sheet1" sheetId="1" r:id="rId6"/>
  </sheets>
  <definedNames>
    <definedName name="Slicer_Region">#N/A</definedName>
  </definedNames>
  <calcPr calcId="191029"/>
  <pivotCaches>
    <pivotCache cacheId="5"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4" i="1" l="1"/>
  <c r="G14" i="1"/>
  <c r="H14" i="1"/>
</calcChain>
</file>

<file path=xl/sharedStrings.xml><?xml version="1.0" encoding="utf-8"?>
<sst xmlns="http://schemas.openxmlformats.org/spreadsheetml/2006/main" count="91" uniqueCount="38">
  <si>
    <t>Order_ID</t>
  </si>
  <si>
    <t>Order_Date</t>
  </si>
  <si>
    <t>Region</t>
  </si>
  <si>
    <t>Category</t>
  </si>
  <si>
    <t>Product_Name</t>
  </si>
  <si>
    <t>Quantity</t>
  </si>
  <si>
    <t>Sales</t>
  </si>
  <si>
    <t>Profit</t>
  </si>
  <si>
    <t>North</t>
  </si>
  <si>
    <t>Electronics</t>
  </si>
  <si>
    <t>Laptop</t>
  </si>
  <si>
    <t>South</t>
  </si>
  <si>
    <t>Furniture</t>
  </si>
  <si>
    <t>Chair</t>
  </si>
  <si>
    <t>West</t>
  </si>
  <si>
    <t>Mobile</t>
  </si>
  <si>
    <t>East</t>
  </si>
  <si>
    <t>Office Supplies</t>
  </si>
  <si>
    <t>Printer</t>
  </si>
  <si>
    <t>Table</t>
  </si>
  <si>
    <t>Headphones</t>
  </si>
  <si>
    <t>15-01-2024</t>
  </si>
  <si>
    <t>Notebook</t>
  </si>
  <si>
    <t>18-01-2024</t>
  </si>
  <si>
    <t>Tablet</t>
  </si>
  <si>
    <t>20-01-2024</t>
  </si>
  <si>
    <t>Sofa</t>
  </si>
  <si>
    <t>22-01-2024</t>
  </si>
  <si>
    <t>Smartwatch</t>
  </si>
  <si>
    <t>25-01-2024</t>
  </si>
  <si>
    <t>Bed</t>
  </si>
  <si>
    <t>28-01-2024</t>
  </si>
  <si>
    <t>Pen Set</t>
  </si>
  <si>
    <t>Row Labels</t>
  </si>
  <si>
    <t>Grand Total</t>
  </si>
  <si>
    <t>Sum of Sales</t>
  </si>
  <si>
    <t>Sum of Profit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</si>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</sst>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7">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[Sales_Performance_Dashboard_in_Excel.xlsx]Pivot table 1!PivotTable1</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1'!$B$3</c:f>
              <c:strCache>
                <c:ptCount val="1"/>
                <c:pt idx="0">
                  <c:v>Total</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1'!$A$4:$A$8</c:f>
              <c:strCache>
                <c:ptCount val="4"/>
                <c:pt idx="0">
                  <c:v>East</c:v>
                </c:pt>
                <c:pt idx="1">
                  <c:v>North</c:v>
                </c:pt>
                <c:pt idx="2">
                  <c:v>South</c:v>
                </c:pt>
                <c:pt idx="3">
                  <c:v>West</c:v>
                </c:pt>
              </c:strCache>
            </c:strRef>
          </c:cat>
          <c:val>
            <c:numRef>
              <c:f>'Pivot table 1'!$B$4:$B$8</c:f>
              <c:numCache>
                <c:formatCode>General</c:formatCode>
                <c:ptCount val="4"/>
                <c:pt idx="0">
                  <c:v>68000</c:v>
                </c:pt>
                <c:pt idx="1">
                  <c:v>185000</c:v>
                </c:pt>
                <c:pt idx="2">
                  <c:v>47000</c:v>
                </c:pt>
                <c:pt idx="3">
                  <c:v>135000</c:v>
                </c:pt>
              </c:numCache>
            </c:numRef>
          </c:val>
          <c:extLst>
            <c:ext xmlns:c16="http://schemas.microsoft.com/office/drawing/2014/chart" uri="{C3380CC4-5D6E-409C-BE32-E72D297353CC}">
              <c16:uniqueId val="{00000000-245A-430D-AE5F-4D7681965D35}"/>
            </c:ext>
          </c:extLst>
        </c:ser>
        <c:dLbls>
          <c:showLegendKey val="0"/>
          <c:showVal val="1"/>
          <c:showCatName val="0"/>
          <c:showSerName val="0"/>
          <c:showPercent val="0"/>
          <c:showBubbleSize val="0"/>
        </c:dLbls>
        <c:gapWidth val="150"/>
        <c:shape val="box"/>
        <c:axId val="601481240"/>
        <c:axId val="601480880"/>
        <c:axId val="0"/>
      </c:bar3DChart>
      <c:catAx>
        <c:axId val="601481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480880"/>
        <c:crosses val="autoZero"/>
        <c:auto val="1"/>
        <c:lblAlgn val="ctr"/>
        <c:lblOffset val="100"/>
        <c:noMultiLvlLbl val="0"/>
      </c:catAx>
      <c:valAx>
        <c:axId val="60148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481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[Sales_Performance_Dashboard_in_Excel.xlsx]pivot table 2!PivotTable2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 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0A-4027-903C-24E0B2B58B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0A-4027-903C-24E0B2B58B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0A-4027-903C-24E0B2B58B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2'!$A$4:$A$7</c:f>
              <c:strCache>
                <c:ptCount val="3"/>
                <c:pt idx="0">
                  <c:v>Electronics</c:v>
                </c:pt>
                <c:pt idx="1">
                  <c:v>Furniture</c:v>
                </c:pt>
                <c:pt idx="2">
                  <c:v>Office Supplies</c:v>
                </c:pt>
              </c:strCache>
            </c:strRef>
          </c:cat>
          <c:val>
            <c:numRef>
              <c:f>'pivot table 2'!$B$4:$B$7</c:f>
              <c:numCache>
                <c:formatCode>General</c:formatCode>
                <c:ptCount val="3"/>
                <c:pt idx="0">
                  <c:v>277000</c:v>
                </c:pt>
                <c:pt idx="1">
                  <c:v>130000</c:v>
                </c:pt>
                <c:pt idx="2">
                  <c:v>28000</c:v>
                </c:pt>
              </c:numCache>
            </c:numRef>
          </c:val>
          <c:extLst>
            <c:ext xmlns:c16="http://schemas.microsoft.com/office/drawing/2014/chart" uri="{C3380CC4-5D6E-409C-BE32-E72D297353CC}">
              <c16:uniqueId val="{00000000-70A8-4118-8126-BDD6F416AF4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[Sales_Performance_Dashboard_in_Excel.xlsx]pivot table 3!PivotTable3</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3'!$B$3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3'!$A$4:$A$7</c:f>
              <c:strCache>
                <c:ptCount val="3"/>
                <c:pt idx="0">
                  <c:v>Electronics</c:v>
                </c:pt>
                <c:pt idx="1">
                  <c:v>Furniture</c:v>
                </c:pt>
                <c:pt idx="2">
                  <c:v>Office Supplies</c:v>
                </c:pt>
              </c:strCache>
            </c:strRef>
          </c:cat>
          <c:val>
            <c:numRef>
              <c:f>'pivot table 3'!$B$4:$B$7</c:f>
              <c:numCache>
                <c:formatCode>General</c:formatCode>
                <c:ptCount val="3"/>
                <c:pt idx="0">
                  <c:v>51500</c:v>
                </c:pt>
                <c:pt idx="1">
                  <c:v>26000</c:v>
                </c:pt>
                <c:pt idx="2">
                  <c:v>5900</c:v>
                </c:pt>
              </c:numCache>
            </c:numRef>
          </c:val>
          <c:extLst>
            <c:ext xmlns:c16="http://schemas.microsoft.com/office/drawing/2014/chart" uri="{C3380CC4-5D6E-409C-BE32-E72D297353CC}">
              <c16:uniqueId val="{00000000-0CD3-44A3-A083-C5ABC0D6F4B0}"/>
            </c:ext>
          </c:extLst>
        </c:ser>
        <c:dLbls>
          <c:dLblPos val="outEnd"/>
          <c:showLegendKey val="0"/>
          <c:showVal val="1"/>
          <c:showCatName val="0"/>
          <c:showSerName val="0"/>
          <c:showPercent val="0"/>
          <c:showBubbleSize val="0"/>
        </c:dLbls>
        <c:gapWidth val="100"/>
        <c:overlap val="-24"/>
        <c:axId val="510691568"/>
        <c:axId val="510688688"/>
      </c:barChart>
      <c:catAx>
        <c:axId val="5106915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0688688"/>
        <c:crosses val="autoZero"/>
        <c:auto val="1"/>
        <c:lblAlgn val="ctr"/>
        <c:lblOffset val="100"/>
        <c:noMultiLvlLbl val="0"/>
      </c:catAx>
      <c:valAx>
        <c:axId val="5106886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069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[Sales_Performance_Dashboard_in_Excel.xlsx]pivot table 4!PivotTable4</c:name>
    <c:fmtId val="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 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4'!$A$4:$A$16</c:f>
              <c:strCache>
                <c:ptCount val="12"/>
                <c:pt idx="0">
                  <c:v>Bed</c:v>
                </c:pt>
                <c:pt idx="1">
                  <c:v>Chair</c:v>
                </c:pt>
                <c:pt idx="2">
                  <c:v>Headphones</c:v>
                </c:pt>
                <c:pt idx="3">
                  <c:v>Laptop</c:v>
                </c:pt>
                <c:pt idx="4">
                  <c:v>Mobile</c:v>
                </c:pt>
                <c:pt idx="5">
                  <c:v>Notebook</c:v>
                </c:pt>
                <c:pt idx="6">
                  <c:v>Pen Set</c:v>
                </c:pt>
                <c:pt idx="7">
                  <c:v>Printer</c:v>
                </c:pt>
                <c:pt idx="8">
                  <c:v>Smartwatch</c:v>
                </c:pt>
                <c:pt idx="9">
                  <c:v>Sofa</c:v>
                </c:pt>
                <c:pt idx="10">
                  <c:v>Table</c:v>
                </c:pt>
                <c:pt idx="11">
                  <c:v>Tablet</c:v>
                </c:pt>
              </c:strCache>
            </c:strRef>
          </c:cat>
          <c:val>
            <c:numRef>
              <c:f>'pivot table 4'!$B$4:$B$16</c:f>
              <c:numCache>
                <c:formatCode>General</c:formatCode>
                <c:ptCount val="12"/>
                <c:pt idx="0">
                  <c:v>1</c:v>
                </c:pt>
                <c:pt idx="1">
                  <c:v>5</c:v>
                </c:pt>
                <c:pt idx="2">
                  <c:v>6</c:v>
                </c:pt>
                <c:pt idx="3">
                  <c:v>2</c:v>
                </c:pt>
                <c:pt idx="4">
                  <c:v>4</c:v>
                </c:pt>
                <c:pt idx="5">
                  <c:v>10</c:v>
                </c:pt>
                <c:pt idx="6">
                  <c:v>15</c:v>
                </c:pt>
                <c:pt idx="7">
                  <c:v>1</c:v>
                </c:pt>
                <c:pt idx="8">
                  <c:v>4</c:v>
                </c:pt>
                <c:pt idx="9">
                  <c:v>1</c:v>
                </c:pt>
                <c:pt idx="10">
                  <c:v>2</c:v>
                </c:pt>
                <c:pt idx="11">
                  <c:v>3</c:v>
                </c:pt>
              </c:numCache>
            </c:numRef>
          </c:val>
          <c:extLst>
            <c:ext xmlns:c16="http://schemas.microsoft.com/office/drawing/2014/chart" uri="{C3380CC4-5D6E-409C-BE32-E72D297353CC}">
              <c16:uniqueId val="{00000000-60D6-4143-9331-6D6B8470384E}"/>
            </c:ext>
          </c:extLst>
        </c:ser>
        <c:dLbls>
          <c:showLegendKey val="0"/>
          <c:showVal val="1"/>
          <c:showCatName val="0"/>
          <c:showSerName val="0"/>
          <c:showPercent val="0"/>
          <c:showBubbleSize val="0"/>
        </c:dLbls>
        <c:gapWidth val="150"/>
        <c:shape val="box"/>
        <c:axId val="601494200"/>
        <c:axId val="601492760"/>
        <c:axId val="0"/>
      </c:bar3DChart>
      <c:catAx>
        <c:axId val="601494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1492760"/>
        <c:crosses val="autoZero"/>
        <c:auto val="1"/>
        <c:lblAlgn val="ctr"/>
        <c:lblOffset val="100"/>
        <c:noMultiLvlLbl val="0"/>
      </c:catAx>
      <c:valAx>
        <c:axId val="60149276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1494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251460</xdr:colOff>
      <xdr:row>6</xdr:row>
      <xdr:rowOff>148590</xdr:rowOff>
    </xdr:from>
    <xdr:to>
      <xdr:col>11</xdr:col>
      <xdr:colOff>556260</xdr:colOff>
      <xdr:row>21</xdr:row>
      <xdr:rowOff>148590</xdr:rowOff>
    </xdr:to>
    <xdr:graphicFrame macro="">
      <xdr:nvGraphicFramePr>
        <xdr:cNvPr id="3" name="Chart 2">
          <a:extLst>
            <a:ext uri="{FF2B5EF4-FFF2-40B4-BE49-F238E27FC236}">
              <a16:creationId xmlns:a16="http://schemas.microsoft.com/office/drawing/2014/main" id="{B71B5091-FC91-B15D-D4B7-6B83252DB0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114306</xdr:colOff>
      <xdr:row>8</xdr:row>
      <xdr:rowOff>91440</xdr:rowOff>
    </xdr:from>
    <xdr:to>
      <xdr:col>8</xdr:col>
      <xdr:colOff>106680</xdr:colOff>
      <xdr:row>24</xdr:row>
      <xdr:rowOff>167640</xdr:rowOff>
    </xdr:to>
    <xdr:graphicFrame macro="">
      <xdr:nvGraphicFramePr>
        <xdr:cNvPr id="2" name="Chart 1">
          <a:extLst>
            <a:ext uri="{FF2B5EF4-FFF2-40B4-BE49-F238E27FC236}">
              <a16:creationId xmlns:a16="http://schemas.microsoft.com/office/drawing/2014/main" id="{0994B9B4-138C-3931-0584-E9EF905A56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259086</xdr:colOff>
      <xdr:row>9</xdr:row>
      <xdr:rowOff>118110</xdr:rowOff>
    </xdr:from>
    <xdr:to>
      <xdr:col>7</xdr:col>
      <xdr:colOff>53346</xdr:colOff>
      <xdr:row>24</xdr:row>
      <xdr:rowOff>118110</xdr:rowOff>
    </xdr:to>
    <xdr:graphicFrame macro="">
      <xdr:nvGraphicFramePr>
        <xdr:cNvPr id="2" name="Chart 1">
          <a:extLst>
            <a:ext uri="{FF2B5EF4-FFF2-40B4-BE49-F238E27FC236}">
              <a16:creationId xmlns:a16="http://schemas.microsoft.com/office/drawing/2014/main" id="{D4429EFA-F4E5-4B4E-BEB9-AB48E9D223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30480</xdr:colOff>
      <xdr:row>6</xdr:row>
      <xdr:rowOff>148590</xdr:rowOff>
    </xdr:from>
    <xdr:to>
      <xdr:col>11</xdr:col>
      <xdr:colOff>335280</xdr:colOff>
      <xdr:row>21</xdr:row>
      <xdr:rowOff>148590</xdr:rowOff>
    </xdr:to>
    <xdr:graphicFrame macro="">
      <xdr:nvGraphicFramePr>
        <xdr:cNvPr id="2" name="Chart 1">
          <a:extLst>
            <a:ext uri="{FF2B5EF4-FFF2-40B4-BE49-F238E27FC236}">
              <a16:creationId xmlns:a16="http://schemas.microsoft.com/office/drawing/2014/main" id="{E061CE55-5988-6BB9-40EE-BFB245D86F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541020</xdr:colOff>
      <xdr:row>0</xdr:row>
      <xdr:rowOff>91440</xdr:rowOff>
    </xdr:from>
    <xdr:to>
      <xdr:col>5</xdr:col>
      <xdr:colOff>541020</xdr:colOff>
      <xdr:row>13</xdr:row>
      <xdr:rowOff>180975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DA656E5A-CF32-57AD-DD73-6728A5D348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202180" y="914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9.809574074075" createdVersion="8" refreshedVersion="8" minRefreshableVersion="3" recordCount="12" xr:uid="{28709742-832E-4AA5-AF90-E3AE657972D4}">
  <cacheSource type="worksheet">
    <worksheetSource name="Table1"/>
  </cacheSource>
  <cacheFields count="8">
    <cacheField name="Order_ID" numFmtId="0">
      <sharedItems containsSemiMixedTypes="0" containsString="0" containsNumber="1" containsInteger="1" minValue="1001" maxValue="1012"/>
    </cacheField>
    <cacheField name="Order_Date" numFmtId="0">
      <sharedItems containsDate="1" containsMixedTypes="1" minDate="2024-01-01T00:00:00" maxDate="2024-12-02T00:00:00"/>
    </cacheField>
    <cacheField name="Region" numFmtId="0">
      <sharedItems count="4">
        <s v="North"/>
        <s v="South"/>
        <s v="West"/>
        <s v="East"/>
      </sharedItems>
    </cacheField>
    <cacheField name="Category" numFmtId="0">
      <sharedItems count="3">
        <s v="Electronics"/>
        <s v="Furniture"/>
        <s v="Office Supplies"/>
      </sharedItems>
    </cacheField>
    <cacheField name="Product_Name" numFmtId="0">
      <sharedItems count="12">
        <s v="Laptop"/>
        <s v="Chair"/>
        <s v="Mobile"/>
        <s v="Printer"/>
        <s v="Table"/>
        <s v="Headphones"/>
        <s v="Notebook"/>
        <s v="Tablet"/>
        <s v="Sofa"/>
        <s v="Smartwatch"/>
        <s v="Bed"/>
        <s v="Pen Set"/>
      </sharedItems>
    </cacheField>
    <cacheField name="Quantity" numFmtId="0">
      <sharedItems containsSemiMixedTypes="0" containsString="0" containsNumber="1" containsInteger="1" minValue="1" maxValue="15"/>
    </cacheField>
    <cacheField name="Sales" numFmtId="0">
      <sharedItems containsSemiMixedTypes="0" containsString="0" containsNumber="1" containsInteger="1" minValue="3000" maxValue="120000" count="11">
        <n v="120000"/>
        <n v="15000"/>
        <n v="80000"/>
        <n v="20000"/>
        <n v="25000"/>
        <n v="12000"/>
        <n v="5000"/>
        <n v="45000"/>
        <n v="40000"/>
        <n v="50000"/>
        <n v="3000"/>
      </sharedItems>
    </cacheField>
    <cacheField name="Profit" numFmtId="0">
      <sharedItems containsSemiMixedTypes="0" containsString="0" containsNumber="1" containsInteger="1" minValue="700" maxValue="20000"/>
    </cacheField>
  </cacheFields>
  <extLst>
    <ext xmlns:x14="http://schemas.microsoft.com/office/spreadsheetml/2009/9/main" uri="{725AE2AE-9491-48be-B2B4-4EB974FC3084}">
      <x14:pivotCacheDefinition pivotCacheId="19718774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n v="1001"/>
    <d v="2024-01-01T00:00:00"/>
    <x v="0"/>
    <x v="0"/>
    <x v="0"/>
    <n v="2"/>
    <x v="0"/>
    <n v="20000"/>
  </r>
  <r>
    <n v="1002"/>
    <d v="2024-03-01T00:00:00"/>
    <x v="1"/>
    <x v="1"/>
    <x v="1"/>
    <n v="5"/>
    <x v="1"/>
    <n v="3000"/>
  </r>
  <r>
    <n v="1003"/>
    <d v="2024-05-01T00:00:00"/>
    <x v="2"/>
    <x v="0"/>
    <x v="2"/>
    <n v="4"/>
    <x v="2"/>
    <n v="15000"/>
  </r>
  <r>
    <n v="1004"/>
    <d v="2024-08-01T00:00:00"/>
    <x v="3"/>
    <x v="2"/>
    <x v="3"/>
    <n v="1"/>
    <x v="3"/>
    <n v="4000"/>
  </r>
  <r>
    <n v="1005"/>
    <d v="2024-10-01T00:00:00"/>
    <x v="0"/>
    <x v="1"/>
    <x v="4"/>
    <n v="2"/>
    <x v="4"/>
    <n v="5000"/>
  </r>
  <r>
    <n v="1006"/>
    <d v="2024-12-01T00:00:00"/>
    <x v="1"/>
    <x v="0"/>
    <x v="5"/>
    <n v="6"/>
    <x v="5"/>
    <n v="2500"/>
  </r>
  <r>
    <n v="1007"/>
    <s v="15-01-2024"/>
    <x v="2"/>
    <x v="2"/>
    <x v="6"/>
    <n v="10"/>
    <x v="6"/>
    <n v="1200"/>
  </r>
  <r>
    <n v="1008"/>
    <s v="18-01-2024"/>
    <x v="3"/>
    <x v="0"/>
    <x v="7"/>
    <n v="3"/>
    <x v="7"/>
    <n v="9000"/>
  </r>
  <r>
    <n v="1009"/>
    <s v="20-01-2024"/>
    <x v="0"/>
    <x v="1"/>
    <x v="8"/>
    <n v="1"/>
    <x v="8"/>
    <n v="8000"/>
  </r>
  <r>
    <n v="1010"/>
    <s v="22-01-2024"/>
    <x v="1"/>
    <x v="0"/>
    <x v="9"/>
    <n v="4"/>
    <x v="3"/>
    <n v="5000"/>
  </r>
  <r>
    <n v="1011"/>
    <s v="25-01-2024"/>
    <x v="2"/>
    <x v="1"/>
    <x v="10"/>
    <n v="1"/>
    <x v="9"/>
    <n v="10000"/>
  </r>
  <r>
    <n v="1012"/>
    <s v="28-01-2024"/>
    <x v="3"/>
    <x v="2"/>
    <x v="11"/>
    <n v="15"/>
    <x v="10"/>
    <n v="7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7D4233-4647-4F6F-AB70-E5B802123B5F}"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8" firstHeaderRow="1" firstDataRow="1" firstDataCol="1"/>
  <pivotFields count="8">
    <pivotField showAll="0"/>
    <pivotField showAll="0"/>
    <pivotField axis="axisRow" showAll="0">
      <items count="5">
        <item x="3"/>
        <item x="0"/>
        <item x="1"/>
        <item x="2"/>
        <item t="default"/>
      </items>
    </pivotField>
    <pivotField showAll="0">
      <items count="4">
        <item x="0"/>
        <item x="1"/>
        <item x="2"/>
        <item t="default"/>
      </items>
    </pivotField>
    <pivotField showAll="0"/>
    <pivotField showAll="0"/>
    <pivotField dataField="1" showAll="0">
      <items count="12">
        <item x="10"/>
        <item x="6"/>
        <item x="5"/>
        <item x="1"/>
        <item x="3"/>
        <item x="4"/>
        <item x="8"/>
        <item x="7"/>
        <item x="9"/>
        <item x="2"/>
        <item x="0"/>
        <item t="default"/>
      </items>
    </pivotField>
    <pivotField showAll="0"/>
  </pivotFields>
  <rowFields count="1">
    <field x="2"/>
  </rowFields>
  <rowItems count="5">
    <i>
      <x/>
    </i>
    <i>
      <x v="1"/>
    </i>
    <i>
      <x v="2"/>
    </i>
    <i>
      <x v="3"/>
    </i>
    <i t="grand">
      <x/>
    </i>
  </rowItems>
  <colItems count="1">
    <i/>
  </colItems>
  <dataFields count="1">
    <dataField name="Sum of Sales" fld="6" baseField="0" baseItem="0"/>
  </dataFields>
  <chartFormats count="2">
    <chartFormat chart="17"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C6B9CB-5F54-41DA-9DBF-2FD9E60480C9}"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8">
    <pivotField showAll="0"/>
    <pivotField showAll="0"/>
    <pivotField showAll="0">
      <items count="5">
        <item x="3"/>
        <item x="0"/>
        <item x="1"/>
        <item x="2"/>
        <item t="default"/>
      </items>
    </pivotField>
    <pivotField axis="axisRow" showAll="0">
      <items count="4">
        <item x="0"/>
        <item x="1"/>
        <item x="2"/>
        <item t="default"/>
      </items>
    </pivotField>
    <pivotField showAll="0"/>
    <pivotField showAll="0"/>
    <pivotField dataField="1" showAll="0">
      <items count="12">
        <item x="10"/>
        <item x="6"/>
        <item x="5"/>
        <item x="1"/>
        <item x="3"/>
        <item x="4"/>
        <item x="8"/>
        <item x="7"/>
        <item x="9"/>
        <item x="2"/>
        <item x="0"/>
        <item t="default"/>
      </items>
    </pivotField>
    <pivotField showAll="0"/>
  </pivotFields>
  <rowFields count="1">
    <field x="3"/>
  </rowFields>
  <rowItems count="4">
    <i>
      <x/>
    </i>
    <i>
      <x v="1"/>
    </i>
    <i>
      <x v="2"/>
    </i>
    <i t="grand">
      <x/>
    </i>
  </rowItems>
  <colItems count="1">
    <i/>
  </colItems>
  <dataFields count="1">
    <dataField name="Sum of Sales" fld="6" baseField="0" baseItem="0"/>
  </dataFields>
  <chartFormats count="4">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3" count="1" selected="0">
            <x v="0"/>
          </reference>
        </references>
      </pivotArea>
    </chartFormat>
    <chartFormat chart="10" format="2">
      <pivotArea type="data" outline="0" fieldPosition="0">
        <references count="2">
          <reference field="4294967294" count="1" selected="0">
            <x v="0"/>
          </reference>
          <reference field="3" count="1" selected="0">
            <x v="1"/>
          </reference>
        </references>
      </pivotArea>
    </chartFormat>
    <chartFormat chart="10"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FE5CAF-584C-481C-9FDE-34506A9ED715}"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8">
    <pivotField showAll="0"/>
    <pivotField showAll="0"/>
    <pivotField showAll="0">
      <items count="5">
        <item x="3"/>
        <item x="0"/>
        <item x="1"/>
        <item x="2"/>
        <item t="default"/>
      </items>
    </pivotField>
    <pivotField axis="axisRow" showAll="0">
      <items count="4">
        <item x="0"/>
        <item x="1"/>
        <item x="2"/>
        <item t="default"/>
      </items>
    </pivotField>
    <pivotField showAll="0"/>
    <pivotField showAll="0"/>
    <pivotField showAll="0">
      <items count="12">
        <item x="10"/>
        <item x="6"/>
        <item x="5"/>
        <item x="1"/>
        <item x="3"/>
        <item x="4"/>
        <item x="8"/>
        <item x="7"/>
        <item x="9"/>
        <item x="2"/>
        <item x="0"/>
        <item t="default"/>
      </items>
    </pivotField>
    <pivotField dataField="1" showAll="0"/>
  </pivotFields>
  <rowFields count="1">
    <field x="3"/>
  </rowFields>
  <rowItems count="4">
    <i>
      <x/>
    </i>
    <i>
      <x v="1"/>
    </i>
    <i>
      <x v="2"/>
    </i>
    <i t="grand">
      <x/>
    </i>
  </rowItems>
  <colItems count="1">
    <i/>
  </colItems>
  <dataFields count="1">
    <dataField name="Sum of Profit" fld="7"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82C6CE-25C9-42E6-B20A-4E9D7D300E83}"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6" firstHeaderRow="1" firstDataRow="1" firstDataCol="1"/>
  <pivotFields count="8">
    <pivotField showAll="0"/>
    <pivotField showAll="0"/>
    <pivotField showAll="0">
      <items count="5">
        <item x="3"/>
        <item x="0"/>
        <item x="1"/>
        <item x="2"/>
        <item t="default"/>
      </items>
    </pivotField>
    <pivotField showAll="0">
      <items count="4">
        <item x="0"/>
        <item x="1"/>
        <item x="2"/>
        <item t="default"/>
      </items>
    </pivotField>
    <pivotField axis="axisRow" showAll="0">
      <items count="13">
        <item x="10"/>
        <item x="1"/>
        <item x="5"/>
        <item x="0"/>
        <item x="2"/>
        <item x="6"/>
        <item x="11"/>
        <item x="3"/>
        <item x="9"/>
        <item x="8"/>
        <item x="4"/>
        <item x="7"/>
        <item t="default"/>
      </items>
    </pivotField>
    <pivotField dataField="1" showAll="0"/>
    <pivotField showAll="0">
      <items count="12">
        <item x="10"/>
        <item x="6"/>
        <item x="5"/>
        <item x="1"/>
        <item x="3"/>
        <item x="4"/>
        <item x="8"/>
        <item x="7"/>
        <item x="9"/>
        <item x="2"/>
        <item x="0"/>
        <item t="default"/>
      </items>
    </pivotField>
    <pivotField showAll="0"/>
  </pivotFields>
  <rowFields count="1">
    <field x="4"/>
  </rowFields>
  <rowItems count="13">
    <i>
      <x/>
    </i>
    <i>
      <x v="1"/>
    </i>
    <i>
      <x v="2"/>
    </i>
    <i>
      <x v="3"/>
    </i>
    <i>
      <x v="4"/>
    </i>
    <i>
      <x v="5"/>
    </i>
    <i>
      <x v="6"/>
    </i>
    <i>
      <x v="7"/>
    </i>
    <i>
      <x v="8"/>
    </i>
    <i>
      <x v="9"/>
    </i>
    <i>
      <x v="10"/>
    </i>
    <i>
      <x v="11"/>
    </i>
    <i t="grand">
      <x/>
    </i>
  </rowItems>
  <colItems count="1">
    <i/>
  </colItems>
  <dataFields count="1">
    <dataField name="Sum of Quantity" fld="5" baseField="0" baseItem="0"/>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4B0819-B6A9-409C-B412-54A1F2474FCA}"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8">
    <pivotField showAll="0"/>
    <pivotField showAll="0"/>
    <pivotField axis="axisRow" showAll="0">
      <items count="5">
        <item x="3"/>
        <item x="0"/>
        <item x="1"/>
        <item x="2"/>
        <item t="default"/>
      </items>
    </pivotField>
    <pivotField showAll="0">
      <items count="4">
        <item x="0"/>
        <item x="1"/>
        <item x="2"/>
        <item t="default"/>
      </items>
    </pivotField>
    <pivotField showAll="0"/>
    <pivotField showAll="0"/>
    <pivotField dataField="1" showAll="0">
      <items count="12">
        <item x="10"/>
        <item x="6"/>
        <item x="5"/>
        <item x="1"/>
        <item x="3"/>
        <item x="4"/>
        <item x="8"/>
        <item x="7"/>
        <item x="9"/>
        <item x="2"/>
        <item x="0"/>
        <item t="default"/>
      </items>
    </pivotField>
    <pivotField showAll="0"/>
  </pivotFields>
  <rowFields count="1">
    <field x="2"/>
  </rowFields>
  <rowItems count="5">
    <i>
      <x/>
    </i>
    <i>
      <x v="1"/>
    </i>
    <i>
      <x v="2"/>
    </i>
    <i>
      <x v="3"/>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DFB040A-52D6-4BE4-A06C-5AD57ED1D86D}" sourceName="Region">
  <pivotTables>
    <pivotTable tabId="9" name="PivotTable1"/>
  </pivotTables>
  <data>
    <tabular pivotCacheId="1971877495">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267AAB7-37FA-4EB8-AC63-2D298B9C2F88}"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811535-A82D-4D85-A84E-61A295D9FC68}" name="Table1" displayName="Table1" ref="A1:H14" totalsRowCount="1" headerRowDxfId="16" dataDxfId="15">
  <autoFilter ref="A1:H13" xr:uid="{1A811535-A82D-4D85-A84E-61A295D9FC68}"/>
  <tableColumns count="8">
    <tableColumn id="1" xr3:uid="{3962F89C-CD56-4F13-A337-4256AE43E32B}" name="Order_ID" dataDxfId="14" totalsRowDxfId="13"/>
    <tableColumn id="2" xr3:uid="{406BCE98-FBF5-48A0-A2E0-8BB64C373867}" name="Order_Date" dataDxfId="12" totalsRowDxfId="11"/>
    <tableColumn id="3" xr3:uid="{DC00FDE8-51CD-450C-9477-1A824067EA7B}" name="Region" dataDxfId="10" totalsRowDxfId="9"/>
    <tableColumn id="4" xr3:uid="{053D6458-316B-450A-A3E2-E1BDCAAE7113}" name="Category" dataDxfId="8" totalsRowDxfId="7"/>
    <tableColumn id="5" xr3:uid="{DC17CC55-0CC6-4604-90B8-8AE2BECB3D54}" name="Product_Name" dataDxfId="6" totalsRowDxfId="5"/>
    <tableColumn id="6" xr3:uid="{8125170B-74C0-4205-87C2-5717656EEBDE}" name="Quantity" totalsRowFunction="custom" dataDxfId="4" totalsRowDxfId="3">
      <totalsRowFormula>SUM(F2:F13)</totalsRowFormula>
    </tableColumn>
    <tableColumn id="7" xr3:uid="{D6C3E06E-64F2-4C01-8475-4A623636FAAF}" name="Sales" totalsRowFunction="custom" dataDxfId="2">
      <totalsRowFormula>SUM(G2:G13)</totalsRowFormula>
    </tableColumn>
    <tableColumn id="8" xr3:uid="{0D85B563-2E49-4D5D-B2AE-8EBB6DB8E7BE}" name="Profit" totalsRowFunction="custom" dataDxfId="1" totalsRowDxfId="0">
      <totalsRowFormula>SUM(H2:H13)</totalsRow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76A1D-CCD7-47AB-84FF-EA64AFBDE5E8}">
  <dimension ref="A3:B8"/>
  <sheetViews>
    <sheetView workbookViewId="0">
      <selection activeCell="I25" sqref="I25"/>
    </sheetView>
  </sheetViews>
  <sheetFormatPr defaultRowHeight="14.4" x14ac:dyDescent="0.3"/>
  <cols>
    <col min="1" max="1" width="12.5546875" bestFit="1" customWidth="1"/>
    <col min="2" max="2" width="11.6640625" bestFit="1" customWidth="1"/>
  </cols>
  <sheetData>
    <row r="3" spans="1:2" x14ac:dyDescent="0.3">
      <c r="A3" s="4" t="s">
        <v>33</v>
      </c>
      <c r="B3" t="s">
        <v>35</v>
      </c>
    </row>
    <row r="4" spans="1:2" x14ac:dyDescent="0.3">
      <c r="A4" s="5" t="s">
        <v>16</v>
      </c>
      <c r="B4" s="6">
        <v>68000</v>
      </c>
    </row>
    <row r="5" spans="1:2" x14ac:dyDescent="0.3">
      <c r="A5" s="5" t="s">
        <v>8</v>
      </c>
      <c r="B5" s="6">
        <v>185000</v>
      </c>
    </row>
    <row r="6" spans="1:2" x14ac:dyDescent="0.3">
      <c r="A6" s="5" t="s">
        <v>11</v>
      </c>
      <c r="B6" s="6">
        <v>47000</v>
      </c>
    </row>
    <row r="7" spans="1:2" x14ac:dyDescent="0.3">
      <c r="A7" s="5" t="s">
        <v>14</v>
      </c>
      <c r="B7" s="6">
        <v>135000</v>
      </c>
    </row>
    <row r="8" spans="1:2" x14ac:dyDescent="0.3">
      <c r="A8" s="5" t="s">
        <v>34</v>
      </c>
      <c r="B8" s="6">
        <v>435000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96C8D-AC4D-4164-9B3F-5793D34B36B4}">
  <dimension ref="A3:B7"/>
  <sheetViews>
    <sheetView workbookViewId="0">
      <selection activeCell="I5" sqref="I5"/>
    </sheetView>
  </sheetViews>
  <sheetFormatPr defaultRowHeight="14.4" x14ac:dyDescent="0.3"/>
  <cols>
    <col min="1" max="1" width="13.109375" bestFit="1" customWidth="1"/>
    <col min="2" max="2" width="11.6640625" bestFit="1" customWidth="1"/>
  </cols>
  <sheetData>
    <row r="3" spans="1:2" x14ac:dyDescent="0.3">
      <c r="A3" s="4" t="s">
        <v>33</v>
      </c>
      <c r="B3" t="s">
        <v>35</v>
      </c>
    </row>
    <row r="4" spans="1:2" x14ac:dyDescent="0.3">
      <c r="A4" s="5" t="s">
        <v>9</v>
      </c>
      <c r="B4" s="6">
        <v>277000</v>
      </c>
    </row>
    <row r="5" spans="1:2" x14ac:dyDescent="0.3">
      <c r="A5" s="5" t="s">
        <v>12</v>
      </c>
      <c r="B5" s="6">
        <v>130000</v>
      </c>
    </row>
    <row r="6" spans="1:2" x14ac:dyDescent="0.3">
      <c r="A6" s="5" t="s">
        <v>17</v>
      </c>
      <c r="B6" s="6">
        <v>28000</v>
      </c>
    </row>
    <row r="7" spans="1:2" x14ac:dyDescent="0.3">
      <c r="A7" s="5" t="s">
        <v>34</v>
      </c>
      <c r="B7" s="6">
        <v>435000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1A569-9C5D-45EA-8EBA-0CD1DA98CCD9}">
  <dimension ref="A3:B7"/>
  <sheetViews>
    <sheetView workbookViewId="0">
      <selection activeCell="N10" sqref="N10"/>
    </sheetView>
  </sheetViews>
  <sheetFormatPr defaultRowHeight="14.4" x14ac:dyDescent="0.3"/>
  <cols>
    <col min="1" max="1" width="13.109375" bestFit="1" customWidth="1"/>
    <col min="2" max="2" width="12.109375" bestFit="1" customWidth="1"/>
  </cols>
  <sheetData>
    <row r="3" spans="1:2" x14ac:dyDescent="0.3">
      <c r="A3" s="4" t="s">
        <v>33</v>
      </c>
      <c r="B3" t="s">
        <v>36</v>
      </c>
    </row>
    <row r="4" spans="1:2" x14ac:dyDescent="0.3">
      <c r="A4" s="5" t="s">
        <v>9</v>
      </c>
      <c r="B4" s="6">
        <v>51500</v>
      </c>
    </row>
    <row r="5" spans="1:2" x14ac:dyDescent="0.3">
      <c r="A5" s="5" t="s">
        <v>12</v>
      </c>
      <c r="B5" s="6">
        <v>26000</v>
      </c>
    </row>
    <row r="6" spans="1:2" x14ac:dyDescent="0.3">
      <c r="A6" s="5" t="s">
        <v>17</v>
      </c>
      <c r="B6" s="6">
        <v>5900</v>
      </c>
    </row>
    <row r="7" spans="1:2" x14ac:dyDescent="0.3">
      <c r="A7" s="5" t="s">
        <v>34</v>
      </c>
      <c r="B7" s="6">
        <v>83400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070E5-E60B-4CE5-A0B4-59CEAFD12441}">
  <dimension ref="A3:B16"/>
  <sheetViews>
    <sheetView workbookViewId="0">
      <selection activeCell="K26" sqref="K26"/>
    </sheetView>
  </sheetViews>
  <sheetFormatPr defaultRowHeight="14.4" x14ac:dyDescent="0.3"/>
  <cols>
    <col min="1" max="1" width="12.5546875" bestFit="1" customWidth="1"/>
    <col min="2" max="2" width="14.88671875" bestFit="1" customWidth="1"/>
  </cols>
  <sheetData>
    <row r="3" spans="1:2" x14ac:dyDescent="0.3">
      <c r="A3" s="4" t="s">
        <v>33</v>
      </c>
      <c r="B3" t="s">
        <v>37</v>
      </c>
    </row>
    <row r="4" spans="1:2" x14ac:dyDescent="0.3">
      <c r="A4" s="5" t="s">
        <v>30</v>
      </c>
      <c r="B4" s="6">
        <v>1</v>
      </c>
    </row>
    <row r="5" spans="1:2" x14ac:dyDescent="0.3">
      <c r="A5" s="5" t="s">
        <v>13</v>
      </c>
      <c r="B5" s="6">
        <v>5</v>
      </c>
    </row>
    <row r="6" spans="1:2" x14ac:dyDescent="0.3">
      <c r="A6" s="5" t="s">
        <v>20</v>
      </c>
      <c r="B6" s="6">
        <v>6</v>
      </c>
    </row>
    <row r="7" spans="1:2" x14ac:dyDescent="0.3">
      <c r="A7" s="5" t="s">
        <v>10</v>
      </c>
      <c r="B7" s="6">
        <v>2</v>
      </c>
    </row>
    <row r="8" spans="1:2" x14ac:dyDescent="0.3">
      <c r="A8" s="5" t="s">
        <v>15</v>
      </c>
      <c r="B8" s="6">
        <v>4</v>
      </c>
    </row>
    <row r="9" spans="1:2" x14ac:dyDescent="0.3">
      <c r="A9" s="5" t="s">
        <v>22</v>
      </c>
      <c r="B9" s="6">
        <v>10</v>
      </c>
    </row>
    <row r="10" spans="1:2" x14ac:dyDescent="0.3">
      <c r="A10" s="5" t="s">
        <v>32</v>
      </c>
      <c r="B10" s="6">
        <v>15</v>
      </c>
    </row>
    <row r="11" spans="1:2" x14ac:dyDescent="0.3">
      <c r="A11" s="5" t="s">
        <v>18</v>
      </c>
      <c r="B11" s="6">
        <v>1</v>
      </c>
    </row>
    <row r="12" spans="1:2" x14ac:dyDescent="0.3">
      <c r="A12" s="5" t="s">
        <v>28</v>
      </c>
      <c r="B12" s="6">
        <v>4</v>
      </c>
    </row>
    <row r="13" spans="1:2" x14ac:dyDescent="0.3">
      <c r="A13" s="5" t="s">
        <v>26</v>
      </c>
      <c r="B13" s="6">
        <v>1</v>
      </c>
    </row>
    <row r="14" spans="1:2" x14ac:dyDescent="0.3">
      <c r="A14" s="5" t="s">
        <v>19</v>
      </c>
      <c r="B14" s="6">
        <v>2</v>
      </c>
    </row>
    <row r="15" spans="1:2" x14ac:dyDescent="0.3">
      <c r="A15" s="5" t="s">
        <v>24</v>
      </c>
      <c r="B15" s="6">
        <v>3</v>
      </c>
    </row>
    <row r="16" spans="1:2" x14ac:dyDescent="0.3">
      <c r="A16" s="5" t="s">
        <v>34</v>
      </c>
      <c r="B16" s="6">
        <v>54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0A4BD-2D94-46A4-97DD-95B489CA08DC}">
  <dimension ref="A3:B8"/>
  <sheetViews>
    <sheetView workbookViewId="0">
      <selection activeCell="A4" sqref="A4"/>
    </sheetView>
  </sheetViews>
  <sheetFormatPr defaultRowHeight="14.4" x14ac:dyDescent="0.3"/>
  <cols>
    <col min="1" max="1" width="12.5546875" bestFit="1" customWidth="1"/>
    <col min="2" max="2" width="11.6640625" bestFit="1" customWidth="1"/>
  </cols>
  <sheetData>
    <row r="3" spans="1:2" x14ac:dyDescent="0.3">
      <c r="A3" s="4" t="s">
        <v>33</v>
      </c>
      <c r="B3" t="s">
        <v>35</v>
      </c>
    </row>
    <row r="4" spans="1:2" x14ac:dyDescent="0.3">
      <c r="A4" s="5" t="s">
        <v>16</v>
      </c>
      <c r="B4" s="6">
        <v>68000</v>
      </c>
    </row>
    <row r="5" spans="1:2" x14ac:dyDescent="0.3">
      <c r="A5" s="5" t="s">
        <v>8</v>
      </c>
      <c r="B5" s="6">
        <v>185000</v>
      </c>
    </row>
    <row r="6" spans="1:2" x14ac:dyDescent="0.3">
      <c r="A6" s="5" t="s">
        <v>11</v>
      </c>
      <c r="B6" s="6">
        <v>47000</v>
      </c>
    </row>
    <row r="7" spans="1:2" x14ac:dyDescent="0.3">
      <c r="A7" s="5" t="s">
        <v>14</v>
      </c>
      <c r="B7" s="6">
        <v>135000</v>
      </c>
    </row>
    <row r="8" spans="1:2" x14ac:dyDescent="0.3">
      <c r="A8" s="5" t="s">
        <v>34</v>
      </c>
      <c r="B8" s="6">
        <v>435000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BE3FC-37BC-4BB8-A476-CEC3B34C0222}">
  <dimension ref="A1:H14"/>
  <sheetViews>
    <sheetView tabSelected="1" workbookViewId="0">
      <selection activeCell="E8" sqref="E8"/>
    </sheetView>
  </sheetViews>
  <sheetFormatPr defaultRowHeight="14.4" x14ac:dyDescent="0.3"/>
  <cols>
    <col min="1" max="1" width="10.44140625" customWidth="1"/>
    <col min="2" max="2" width="12.5546875" customWidth="1"/>
    <col min="4" max="4" width="10.44140625" customWidth="1"/>
    <col min="5" max="5" width="15.5546875" customWidth="1"/>
    <col min="6" max="6" width="10.21875" customWidth="1"/>
  </cols>
  <sheetData>
    <row r="1" spans="1:8" x14ac:dyDescent="0.3">
      <c r="A1" s="1" t="s">
        <v>0</v>
      </c>
      <c r="B1" s="1" t="s">
        <v>1</v>
      </c>
      <c r="C1" s="1" t="s">
        <v>2</v>
      </c>
      <c r="D1" s="1" t="s">
        <v>3</v>
      </c>
      <c r="E1" s="1" t="s">
        <v>4</v>
      </c>
      <c r="F1" s="1" t="s">
        <v>5</v>
      </c>
      <c r="G1" s="1" t="s">
        <v>6</v>
      </c>
      <c r="H1" s="1" t="s">
        <v>7</v>
      </c>
    </row>
    <row r="2" spans="1:8" x14ac:dyDescent="0.3">
      <c r="A2" s="2">
        <v>1001</v>
      </c>
      <c r="B2" s="3">
        <v>45292</v>
      </c>
      <c r="C2" s="2" t="s">
        <v>8</v>
      </c>
      <c r="D2" s="2" t="s">
        <v>9</v>
      </c>
      <c r="E2" s="2" t="s">
        <v>10</v>
      </c>
      <c r="F2" s="2">
        <v>2</v>
      </c>
      <c r="G2" s="2">
        <v>120000</v>
      </c>
      <c r="H2" s="2">
        <v>20000</v>
      </c>
    </row>
    <row r="3" spans="1:8" x14ac:dyDescent="0.3">
      <c r="A3" s="2">
        <v>1002</v>
      </c>
      <c r="B3" s="3">
        <v>45352</v>
      </c>
      <c r="C3" s="2" t="s">
        <v>11</v>
      </c>
      <c r="D3" s="2" t="s">
        <v>12</v>
      </c>
      <c r="E3" s="2" t="s">
        <v>13</v>
      </c>
      <c r="F3" s="2">
        <v>5</v>
      </c>
      <c r="G3" s="2">
        <v>15000</v>
      </c>
      <c r="H3" s="2">
        <v>3000</v>
      </c>
    </row>
    <row r="4" spans="1:8" x14ac:dyDescent="0.3">
      <c r="A4" s="2">
        <v>1003</v>
      </c>
      <c r="B4" s="3">
        <v>45413</v>
      </c>
      <c r="C4" s="2" t="s">
        <v>14</v>
      </c>
      <c r="D4" s="2" t="s">
        <v>9</v>
      </c>
      <c r="E4" s="2" t="s">
        <v>15</v>
      </c>
      <c r="F4" s="2">
        <v>4</v>
      </c>
      <c r="G4" s="2">
        <v>80000</v>
      </c>
      <c r="H4" s="2">
        <v>15000</v>
      </c>
    </row>
    <row r="5" spans="1:8" ht="28.8" x14ac:dyDescent="0.3">
      <c r="A5" s="2">
        <v>1004</v>
      </c>
      <c r="B5" s="3">
        <v>45505</v>
      </c>
      <c r="C5" s="2" t="s">
        <v>16</v>
      </c>
      <c r="D5" s="2" t="s">
        <v>17</v>
      </c>
      <c r="E5" s="2" t="s">
        <v>18</v>
      </c>
      <c r="F5" s="2">
        <v>1</v>
      </c>
      <c r="G5" s="2">
        <v>20000</v>
      </c>
      <c r="H5" s="2">
        <v>4000</v>
      </c>
    </row>
    <row r="6" spans="1:8" x14ac:dyDescent="0.3">
      <c r="A6" s="2">
        <v>1005</v>
      </c>
      <c r="B6" s="3">
        <v>45566</v>
      </c>
      <c r="C6" s="2" t="s">
        <v>8</v>
      </c>
      <c r="D6" s="2" t="s">
        <v>12</v>
      </c>
      <c r="E6" s="2" t="s">
        <v>19</v>
      </c>
      <c r="F6" s="2">
        <v>2</v>
      </c>
      <c r="G6" s="2">
        <v>25000</v>
      </c>
      <c r="H6" s="2">
        <v>5000</v>
      </c>
    </row>
    <row r="7" spans="1:8" x14ac:dyDescent="0.3">
      <c r="A7" s="2">
        <v>1006</v>
      </c>
      <c r="B7" s="3">
        <v>45627</v>
      </c>
      <c r="C7" s="2" t="s">
        <v>11</v>
      </c>
      <c r="D7" s="2" t="s">
        <v>9</v>
      </c>
      <c r="E7" s="2" t="s">
        <v>20</v>
      </c>
      <c r="F7" s="2">
        <v>6</v>
      </c>
      <c r="G7" s="2">
        <v>12000</v>
      </c>
      <c r="H7" s="2">
        <v>2500</v>
      </c>
    </row>
    <row r="8" spans="1:8" ht="28.8" x14ac:dyDescent="0.3">
      <c r="A8" s="2">
        <v>1007</v>
      </c>
      <c r="B8" s="2" t="s">
        <v>21</v>
      </c>
      <c r="C8" s="2" t="s">
        <v>14</v>
      </c>
      <c r="D8" s="2" t="s">
        <v>17</v>
      </c>
      <c r="E8" s="2" t="s">
        <v>22</v>
      </c>
      <c r="F8" s="2">
        <v>10</v>
      </c>
      <c r="G8" s="2">
        <v>5000</v>
      </c>
      <c r="H8" s="2">
        <v>1200</v>
      </c>
    </row>
    <row r="9" spans="1:8" x14ac:dyDescent="0.3">
      <c r="A9" s="2">
        <v>1008</v>
      </c>
      <c r="B9" s="2" t="s">
        <v>23</v>
      </c>
      <c r="C9" s="2" t="s">
        <v>16</v>
      </c>
      <c r="D9" s="2" t="s">
        <v>9</v>
      </c>
      <c r="E9" s="2" t="s">
        <v>24</v>
      </c>
      <c r="F9" s="2">
        <v>3</v>
      </c>
      <c r="G9" s="2">
        <v>45000</v>
      </c>
      <c r="H9" s="2">
        <v>9000</v>
      </c>
    </row>
    <row r="10" spans="1:8" x14ac:dyDescent="0.3">
      <c r="A10" s="2">
        <v>1009</v>
      </c>
      <c r="B10" s="2" t="s">
        <v>25</v>
      </c>
      <c r="C10" s="2" t="s">
        <v>8</v>
      </c>
      <c r="D10" s="2" t="s">
        <v>12</v>
      </c>
      <c r="E10" s="2" t="s">
        <v>26</v>
      </c>
      <c r="F10" s="2">
        <v>1</v>
      </c>
      <c r="G10" s="2">
        <v>40000</v>
      </c>
      <c r="H10" s="2">
        <v>8000</v>
      </c>
    </row>
    <row r="11" spans="1:8" x14ac:dyDescent="0.3">
      <c r="A11" s="2">
        <v>1010</v>
      </c>
      <c r="B11" s="2" t="s">
        <v>27</v>
      </c>
      <c r="C11" s="2" t="s">
        <v>11</v>
      </c>
      <c r="D11" s="2" t="s">
        <v>9</v>
      </c>
      <c r="E11" s="2" t="s">
        <v>28</v>
      </c>
      <c r="F11" s="2">
        <v>4</v>
      </c>
      <c r="G11" s="2">
        <v>20000</v>
      </c>
      <c r="H11" s="2">
        <v>5000</v>
      </c>
    </row>
    <row r="12" spans="1:8" x14ac:dyDescent="0.3">
      <c r="A12" s="2">
        <v>1011</v>
      </c>
      <c r="B12" s="2" t="s">
        <v>29</v>
      </c>
      <c r="C12" s="2" t="s">
        <v>14</v>
      </c>
      <c r="D12" s="2" t="s">
        <v>12</v>
      </c>
      <c r="E12" s="2" t="s">
        <v>30</v>
      </c>
      <c r="F12" s="2">
        <v>1</v>
      </c>
      <c r="G12" s="2">
        <v>50000</v>
      </c>
      <c r="H12" s="2">
        <v>10000</v>
      </c>
    </row>
    <row r="13" spans="1:8" ht="28.8" x14ac:dyDescent="0.3">
      <c r="A13" s="2">
        <v>1012</v>
      </c>
      <c r="B13" s="2" t="s">
        <v>31</v>
      </c>
      <c r="C13" s="2" t="s">
        <v>16</v>
      </c>
      <c r="D13" s="2" t="s">
        <v>17</v>
      </c>
      <c r="E13" s="2" t="s">
        <v>32</v>
      </c>
      <c r="F13" s="2">
        <v>15</v>
      </c>
      <c r="G13" s="2">
        <v>3000</v>
      </c>
      <c r="H13" s="2">
        <v>700</v>
      </c>
    </row>
    <row r="14" spans="1:8" x14ac:dyDescent="0.3">
      <c r="A14" s="2"/>
      <c r="B14" s="2"/>
      <c r="C14" s="2"/>
      <c r="D14" s="2"/>
      <c r="E14" s="2"/>
      <c r="F14" s="2">
        <f>SUM(F2:F13)</f>
        <v>54</v>
      </c>
      <c r="G14" s="2">
        <f>SUM(G2:G13)</f>
        <v>435000</v>
      </c>
      <c r="H14" s="2">
        <f>SUM(H2:H13)</f>
        <v>83400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 1</vt:lpstr>
      <vt:lpstr>pivot table 2</vt:lpstr>
      <vt:lpstr>pivot table 3</vt:lpstr>
      <vt:lpstr>pivot table 4</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22R01A05N4 Keerthi</dc:creator>
  <cp:lastModifiedBy>22R01A05N4 Keerthi</cp:lastModifiedBy>
  <cp:lastPrinted>2026-03-08T16:21:37Z</cp:lastPrinted>
  <dcterms:created xsi:type="dcterms:W3CDTF">2026-03-08T13:55:31Z</dcterms:created>
  <dcterms:modified xsi:type="dcterms:W3CDTF">2026-03-08T17:07:38Z</dcterms:modified>
</cp:coreProperties>
</file>